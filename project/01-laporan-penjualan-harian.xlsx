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 Harian" sheetId="1" state="visible" r:id="rId1"/>
    <sheet xmlns:r="http://schemas.openxmlformats.org/officeDocument/2006/relationships" name="Rekonsiliasi K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1F2E8C"/>
      <sz val="14"/>
    </font>
    <font>
      <color rgb="00555555"/>
    </font>
    <font>
      <i val="1"/>
      <color rgb="00888888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E8C"/>
      </patternFill>
    </fill>
    <fill>
      <patternFill patternType="solid">
        <fgColor rgb="00EEF1FB"/>
      </patternFill>
    </fill>
    <fill>
      <patternFill patternType="solid">
        <fgColor rgb="00FFE58A"/>
      </patternFill>
    </fill>
  </fills>
  <borders count="2">
    <border>
      <left/>
      <right/>
      <top/>
      <bottom/>
      <diagonal/>
    </border>
    <border>
      <left style="thin">
        <color rgb="00C5CBE0"/>
      </left>
      <right style="thin">
        <color rgb="00C5CBE0"/>
      </right>
      <top style="thin">
        <color rgb="00C5CBE0"/>
      </top>
      <bottom style="thin">
        <color rgb="00C5CB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3" fontId="5" fillId="3" borderId="1" applyAlignment="1" pivotButton="0" quotePrefix="0" xfId="0">
      <alignment vertical="center" wrapText="1"/>
    </xf>
    <xf numFmtId="164" fontId="5" fillId="3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2" customWidth="1" min="4" max="4"/>
  </cols>
  <sheetData>
    <row r="1">
      <c r="A1" s="1" t="inlineStr">
        <is>
          <t>LAPORAN PENJUALAN HARIAN</t>
        </is>
      </c>
    </row>
    <row r="2">
      <c r="A2" s="2" t="inlineStr">
        <is>
          <t>Toko Contoh Swalayan · Kasir 04 · Shift 1 · Sabtu, 12 September 2026</t>
        </is>
      </c>
    </row>
    <row r="3">
      <c r="A3" s="3" t="inlineStr">
        <is>
          <t>Contoh format kerja. Seluruh nama dan angka adalah data ilustrasi, bukan data perusahaan.</t>
        </is>
      </c>
    </row>
    <row r="5">
      <c r="A5" s="4" t="inlineStr">
        <is>
          <t>Metode Pembayaran</t>
        </is>
      </c>
      <c r="B5" s="4" t="inlineStr">
        <is>
          <t>Jumlah Transaksi</t>
        </is>
      </c>
      <c r="C5" s="4" t="inlineStr">
        <is>
          <t>Nilai Penjualan</t>
        </is>
      </c>
      <c r="D5" s="4" t="inlineStr">
        <is>
          <t>Porsi</t>
        </is>
      </c>
    </row>
    <row r="6">
      <c r="A6" s="5" t="inlineStr">
        <is>
          <t>Tunai</t>
        </is>
      </c>
      <c r="B6" s="6" t="n">
        <v>212</v>
      </c>
      <c r="C6" s="7" t="n">
        <v>14850000</v>
      </c>
      <c r="D6" s="8">
        <f>C6/$C$11</f>
        <v/>
      </c>
    </row>
    <row r="7">
      <c r="A7" s="5" t="inlineStr">
        <is>
          <t>Debit</t>
        </is>
      </c>
      <c r="B7" s="6" t="n">
        <v>148</v>
      </c>
      <c r="C7" s="7" t="n">
        <v>19320500</v>
      </c>
      <c r="D7" s="8">
        <f>C7/$C$11</f>
        <v/>
      </c>
    </row>
    <row r="8">
      <c r="A8" s="5" t="inlineStr">
        <is>
          <t>Kredit</t>
        </is>
      </c>
      <c r="B8" s="6" t="n">
        <v>61</v>
      </c>
      <c r="C8" s="7" t="n">
        <v>12745000</v>
      </c>
      <c r="D8" s="8">
        <f>C8/$C$11</f>
        <v/>
      </c>
    </row>
    <row r="9">
      <c r="A9" s="5" t="inlineStr">
        <is>
          <t>QRIS</t>
        </is>
      </c>
      <c r="B9" s="6" t="n">
        <v>173</v>
      </c>
      <c r="C9" s="7" t="n">
        <v>9612300</v>
      </c>
      <c r="D9" s="8">
        <f>C9/$C$11</f>
        <v/>
      </c>
    </row>
    <row r="10">
      <c r="A10" s="5" t="inlineStr">
        <is>
          <t>Transfer</t>
        </is>
      </c>
      <c r="B10" s="6" t="n">
        <v>6</v>
      </c>
      <c r="C10" s="7" t="n">
        <v>2150000</v>
      </c>
      <c r="D10" s="8">
        <f>C10/$C$11</f>
        <v/>
      </c>
    </row>
    <row r="11">
      <c r="A11" s="9" t="inlineStr">
        <is>
          <t>TOTAL</t>
        </is>
      </c>
      <c r="B11" s="10">
        <f>SUM(B6:B10)</f>
        <v/>
      </c>
      <c r="C11" s="11">
        <f>SUM(C6:C10)</f>
        <v/>
      </c>
      <c r="D11" s="12">
        <f>SUM(D6:D10)</f>
        <v/>
      </c>
    </row>
    <row r="12">
      <c r="A12" s="5" t="inlineStr">
        <is>
          <t>Rata-rata per transaksi</t>
        </is>
      </c>
      <c r="B12" s="5" t="n"/>
      <c r="C12" s="7">
        <f>C11/B11</f>
        <v/>
      </c>
      <c r="D12" s="5" t="n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</cols>
  <sheetData>
    <row r="1">
      <c r="A1" s="1" t="inlineStr">
        <is>
          <t>REKONSILIASI KAS AKHIR SHIFT</t>
        </is>
      </c>
    </row>
    <row r="2">
      <c r="A2" s="2" t="inlineStr">
        <is>
          <t>Toko Contoh Swalayan · Kasir 04 · Shift 1 · Sabtu, 12 September 2026</t>
        </is>
      </c>
    </row>
    <row r="3">
      <c r="A3" s="3" t="inlineStr">
        <is>
          <t>Contoh format kerja. Seluruh nama dan angka adalah data ilustrasi, bukan data perusahaan.</t>
        </is>
      </c>
    </row>
    <row r="5">
      <c r="A5" s="4" t="inlineStr">
        <is>
          <t>Pecahan</t>
        </is>
      </c>
      <c r="B5" s="4" t="inlineStr">
        <is>
          <t>Jumlah Lembar/Keping</t>
        </is>
      </c>
      <c r="C5" s="4" t="inlineStr">
        <is>
          <t>Nilai</t>
        </is>
      </c>
    </row>
    <row r="6">
      <c r="A6" s="7" t="n">
        <v>100000</v>
      </c>
      <c r="B6" s="6" t="n">
        <v>98</v>
      </c>
      <c r="C6" s="7">
        <f>A6*B6</f>
        <v/>
      </c>
    </row>
    <row r="7">
      <c r="A7" s="7" t="n">
        <v>50000</v>
      </c>
      <c r="B7" s="6" t="n">
        <v>84</v>
      </c>
      <c r="C7" s="7">
        <f>A7*B7</f>
        <v/>
      </c>
    </row>
    <row r="8">
      <c r="A8" s="7" t="n">
        <v>20000</v>
      </c>
      <c r="B8" s="6" t="n">
        <v>45</v>
      </c>
      <c r="C8" s="7">
        <f>A8*B8</f>
        <v/>
      </c>
    </row>
    <row r="9">
      <c r="A9" s="7" t="n">
        <v>10000</v>
      </c>
      <c r="B9" s="6" t="n">
        <v>52</v>
      </c>
      <c r="C9" s="7">
        <f>A9*B9</f>
        <v/>
      </c>
    </row>
    <row r="10">
      <c r="A10" s="7" t="n">
        <v>5000</v>
      </c>
      <c r="B10" s="6" t="n">
        <v>40</v>
      </c>
      <c r="C10" s="7">
        <f>A10*B10</f>
        <v/>
      </c>
    </row>
    <row r="11">
      <c r="A11" s="7" t="n">
        <v>2000</v>
      </c>
      <c r="B11" s="6" t="n">
        <v>35</v>
      </c>
      <c r="C11" s="7">
        <f>A11*B11</f>
        <v/>
      </c>
    </row>
    <row r="12">
      <c r="A12" s="7" t="n">
        <v>1000</v>
      </c>
      <c r="B12" s="6" t="n">
        <v>30</v>
      </c>
      <c r="C12" s="7">
        <f>A12*B12</f>
        <v/>
      </c>
    </row>
    <row r="13">
      <c r="A13" s="7" t="n">
        <v>500</v>
      </c>
      <c r="B13" s="6" t="n">
        <v>10</v>
      </c>
      <c r="C13" s="7">
        <f>A13*B13</f>
        <v/>
      </c>
    </row>
    <row r="14">
      <c r="A14" s="9" t="inlineStr">
        <is>
          <t>KAS FISIK</t>
        </is>
      </c>
      <c r="B14" s="9" t="n"/>
      <c r="C14" s="11">
        <f>SUM(C6:C13)</f>
        <v/>
      </c>
    </row>
    <row r="16">
      <c r="A16" s="5" t="inlineStr">
        <is>
          <t>Modal awal</t>
        </is>
      </c>
      <c r="B16" s="5" t="n"/>
      <c r="C16" s="7" t="n">
        <v>1000000</v>
      </c>
    </row>
    <row r="17">
      <c r="A17" s="5" t="inlineStr">
        <is>
          <t>Penjualan tunai</t>
        </is>
      </c>
      <c r="B17" s="5" t="n"/>
      <c r="C17" s="7">
        <f>'Penjualan Harian'!C6</f>
        <v/>
      </c>
    </row>
    <row r="18">
      <c r="A18" s="5" t="inlineStr">
        <is>
          <t>Retur tunai</t>
        </is>
      </c>
      <c r="B18" s="5" t="n"/>
      <c r="C18" s="7" t="n">
        <v>-125000</v>
      </c>
    </row>
    <row r="19">
      <c r="A19" s="9" t="inlineStr">
        <is>
          <t>KAS SEHARUSNYA</t>
        </is>
      </c>
      <c r="B19" s="9" t="n"/>
      <c r="C19" s="11">
        <f>SUM(C16:C18)</f>
        <v/>
      </c>
    </row>
    <row r="20">
      <c r="A20" s="13" t="inlineStr">
        <is>
          <t>SELISIH</t>
        </is>
      </c>
      <c r="B20" s="13" t="n"/>
      <c r="C20" s="14">
        <f>C14-C19</f>
        <v/>
      </c>
    </row>
    <row r="21">
      <c r="A21" s="15" t="inlineStr">
        <is>
          <t>Status</t>
        </is>
      </c>
      <c r="B21" s="15" t="n"/>
      <c r="C21" s="15">
        <f>IF(C20=0,"SESUAI","PERLU DICEK")</f>
        <v/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2026-10-01T13:24:03Z</dcterms:created>
  <dcterms:modified xmlns:dcterms="http://purl.org/dc/terms/" xmlns:xsi="http://www.w3.org/2001/XMLSchema-instance" xsi:type="dcterms:W3CDTF">2026-10-01T13:24:03Z</dcterms:modified>
</cp:coreProperties>
</file>